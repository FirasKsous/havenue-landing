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alculator" sheetId="1" state="visible" r:id="rId1"/>
    <sheet name="Industry Benchmarks" sheetId="2" state="visible" r:id="rId2"/>
    <sheet name="Recovery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"/>
    <numFmt numFmtId="165" formatCode="0.0%"/>
    <numFmt numFmtId="166" formatCode="£#,##0.00"/>
    <numFmt numFmtId="167" formatCode="+0.0%"/>
    <numFmt numFmtId="168" formatCode="0.0x"/>
  </numFmts>
  <fonts count="25">
    <font>
      <name val="Calibri"/>
      <family val="2"/>
      <color theme="1"/>
      <sz val="11"/>
      <scheme val="minor"/>
    </font>
    <font>
      <name val="Calibri"/>
      <b val="1"/>
      <color rgb="000A0A0A"/>
      <sz val="22"/>
    </font>
    <font>
      <name val="Calibri"/>
      <i val="1"/>
      <color rgb="00333333"/>
      <sz val="12"/>
    </font>
    <font>
      <name val="Calibri"/>
      <b val="1"/>
      <color rgb="000F7636"/>
      <sz val="10"/>
    </font>
    <font>
      <name val="Calibri"/>
      <b val="1"/>
      <color rgb="00FFFFFF"/>
      <sz val="14"/>
    </font>
    <font>
      <name val="Calibri"/>
      <color rgb="00333333"/>
      <sz val="11"/>
    </font>
    <font>
      <name val="Calibri"/>
      <b val="1"/>
      <color rgb="000F7636"/>
      <sz val="12"/>
    </font>
    <font>
      <name val="Calibri"/>
      <i val="1"/>
      <color rgb="00888888"/>
      <sz val="9"/>
    </font>
    <font>
      <name val="Calibri"/>
      <b val="1"/>
      <color rgb="00333333"/>
      <sz val="11"/>
    </font>
    <font>
      <name val="Calibri"/>
      <b val="1"/>
      <color rgb="000A0A0A"/>
      <sz val="12"/>
    </font>
    <font>
      <name val="Calibri"/>
      <b val="1"/>
      <color rgb="000F7636"/>
      <sz val="14"/>
    </font>
    <font>
      <name val="Calibri"/>
      <b val="1"/>
      <color rgb="00EF4444"/>
      <sz val="12"/>
    </font>
    <font>
      <name val="Calibri"/>
      <b val="1"/>
      <color rgb="00EF4444"/>
      <sz val="14"/>
    </font>
    <font>
      <name val="Calibri"/>
      <b val="1"/>
      <color rgb="000F7636"/>
      <sz val="13"/>
    </font>
    <font>
      <name val="Calibri"/>
      <i val="1"/>
      <color rgb="00333333"/>
      <sz val="10"/>
    </font>
    <font>
      <name val="Calibri"/>
      <b val="1"/>
      <color rgb="000F7636"/>
      <sz val="16"/>
    </font>
    <font>
      <name val="Calibri"/>
      <b val="1"/>
      <color rgb="000A0A0A"/>
      <sz val="13"/>
    </font>
    <font>
      <name val="Calibri"/>
      <b val="1"/>
      <color rgb="0039FF14"/>
      <sz val="18"/>
    </font>
    <font>
      <name val="Calibri"/>
      <color rgb="00333333"/>
      <sz val="10"/>
    </font>
    <font>
      <name val="Calibri"/>
      <i val="1"/>
      <color rgb="00AAAAAA"/>
      <sz val="8"/>
    </font>
    <font>
      <name val="Calibri"/>
      <b val="1"/>
      <color rgb="00FFFFFF"/>
      <sz val="11"/>
    </font>
    <font>
      <name val="Calibri"/>
      <color rgb="00EF4444"/>
      <sz val="10"/>
    </font>
    <font>
      <name val="Calibri"/>
      <color rgb="00F59E0B"/>
      <sz val="10"/>
    </font>
    <font>
      <name val="Calibri"/>
      <color rgb="000F7636"/>
      <sz val="10"/>
    </font>
    <font>
      <sz val="14"/>
    </font>
  </fonts>
  <fills count="7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E8F5E9"/>
        <bgColor rgb="00E8F5E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164" fontId="6" fillId="3" borderId="1" applyAlignment="1" pivotButton="0" quotePrefix="0" xfId="0">
      <alignment horizontal="center" vertical="center"/>
    </xf>
    <xf numFmtId="0" fontId="8" fillId="0" borderId="0" pivotButton="0" quotePrefix="0" xfId="0"/>
    <xf numFmtId="164" fontId="6" fillId="0" borderId="1" pivotButton="0" quotePrefix="0" xfId="0"/>
    <xf numFmtId="0" fontId="9" fillId="0" borderId="0" pivotButton="0" quotePrefix="0" xfId="0"/>
    <xf numFmtId="164" fontId="10" fillId="0" borderId="1" pivotButton="0" quotePrefix="0" xfId="0"/>
    <xf numFmtId="0" fontId="11" fillId="0" borderId="0" pivotButton="0" quotePrefix="0" xfId="0"/>
    <xf numFmtId="164" fontId="12" fillId="0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16" fillId="0" borderId="0" pivotButton="0" quotePrefix="0" xfId="0"/>
    <xf numFmtId="165" fontId="17" fillId="2" borderId="1" applyAlignment="1" pivotButton="0" quotePrefix="0" xfId="0">
      <alignment horizontal="center" vertical="center"/>
    </xf>
    <xf numFmtId="0" fontId="6" fillId="0" borderId="0" pivotButton="0" quotePrefix="0" xfId="0"/>
    <xf numFmtId="167" fontId="1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8" fontId="13" fillId="4" borderId="1" applyAlignment="1" pivotButton="0" quotePrefix="0" xfId="0">
      <alignment horizontal="center" vertical="center"/>
    </xf>
    <xf numFmtId="1" fontId="13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wrapText="1"/>
    </xf>
    <xf numFmtId="0" fontId="1" fillId="0" borderId="0" pivotButton="0" quotePrefix="0" xfId="0"/>
    <xf numFmtId="0" fontId="2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36"/>
    <outlinePr summaryBelow="1" summaryRight="1"/>
    <pageSetUpPr/>
  </sheetPr>
  <dimension ref="B2:E71"/>
  <sheetViews>
    <sheetView workbookViewId="0">
      <selection activeCell="A1" sqref="A1"/>
    </sheetView>
  </sheetViews>
  <sheetFormatPr baseColWidth="8" defaultRowHeight="20"/>
  <cols>
    <col width="3" customWidth="1" min="1" max="1"/>
    <col width="42" customWidth="1" min="2" max="2"/>
    <col width="20" customWidth="1" min="3" max="3"/>
    <col width="20" customWidth="1" min="4" max="4"/>
    <col width="25" customWidth="1" min="5" max="5"/>
    <col width="3" customWidth="1" min="6" max="6"/>
  </cols>
  <sheetData>
    <row r="2">
      <c r="B2" s="1" t="inlineStr">
        <is>
          <t>THE 2026 HOSPITALITY PROFIT CALCULATOR</t>
        </is>
      </c>
    </row>
    <row r="3">
      <c r="B3" s="2" t="inlineStr">
        <is>
          <t>By CateringOS — See exactly where your venue is leaking margin</t>
        </is>
      </c>
    </row>
    <row r="4">
      <c r="B4" s="3" t="inlineStr">
        <is>
          <t>Fill in the green cells with your numbers. Results update automatically.</t>
        </is>
      </c>
    </row>
    <row r="6" ht="30" customHeight="1">
      <c r="B6" s="4" t="inlineStr">
        <is>
          <t xml:space="preserve">  1. YOUR REVENUE OVERVIEW</t>
        </is>
      </c>
    </row>
    <row r="7">
      <c r="B7" s="5" t="inlineStr">
        <is>
          <t>Average events per month</t>
        </is>
      </c>
      <c r="C7" s="6" t="n">
        <v>12</v>
      </c>
      <c r="D7" s="7" t="inlineStr">
        <is>
          <t>← Enter your events</t>
        </is>
      </c>
    </row>
    <row r="8">
      <c r="B8" s="5" t="inlineStr">
        <is>
          <t>Average revenue per event (£)</t>
        </is>
      </c>
      <c r="C8" s="8" t="n">
        <v>3500</v>
      </c>
      <c r="D8" s="7" t="inlineStr">
        <is>
          <t>← Enter your £</t>
        </is>
      </c>
    </row>
    <row r="9">
      <c r="B9" s="5" t="inlineStr">
        <is>
          <t>Average covers per event</t>
        </is>
      </c>
      <c r="C9" s="6" t="n">
        <v>80</v>
      </c>
      <c r="D9" s="7" t="inlineStr">
        <is>
          <t>← Enter your covers</t>
        </is>
      </c>
    </row>
    <row r="10">
      <c r="B10" s="5" t="inlineStr">
        <is>
          <t>Number of revenue months per year</t>
        </is>
      </c>
      <c r="C10" s="6" t="n">
        <v>11</v>
      </c>
      <c r="D10" s="7" t="inlineStr">
        <is>
          <t>← Enter your months</t>
        </is>
      </c>
    </row>
    <row r="12">
      <c r="B12" s="9" t="inlineStr">
        <is>
          <t>Monthly Revenue</t>
        </is>
      </c>
      <c r="C12" s="10">
        <f>C7*C8</f>
        <v/>
      </c>
    </row>
    <row r="13">
      <c r="B13" s="11" t="inlineStr">
        <is>
          <t>Annual Revenue</t>
        </is>
      </c>
      <c r="C13" s="12">
        <f>C12*C10</f>
        <v/>
      </c>
      <c r="E13" s="7" t="inlineStr">
        <is>
          <t>Your annual topline</t>
        </is>
      </c>
    </row>
    <row r="16" ht="30" customHeight="1">
      <c r="B16" s="4" t="inlineStr">
        <is>
          <t xml:space="preserve">  2. WHERE YOUR MONEY GOES (Monthly Costs)</t>
        </is>
      </c>
    </row>
    <row r="17">
      <c r="B17" s="5" t="inlineStr">
        <is>
          <t>Food &amp; ingredient costs (£/month)</t>
        </is>
      </c>
      <c r="C17" s="8" t="n">
        <v>14000</v>
      </c>
      <c r="E17" s="7" t="inlineStr">
        <is>
          <t>Aim for 28-32% of revenue</t>
        </is>
      </c>
    </row>
    <row r="18">
      <c r="B18" s="5" t="inlineStr">
        <is>
          <t>Beverage costs (£/month)</t>
        </is>
      </c>
      <c r="C18" s="8" t="n">
        <v>4500</v>
      </c>
      <c r="E18" s="7" t="inlineStr">
        <is>
          <t>Aim for 20-25% of revenue</t>
        </is>
      </c>
    </row>
    <row r="19">
      <c r="B19" s="5" t="inlineStr">
        <is>
          <t>Kitchen labour — chefs, prep, KPs (£/month)</t>
        </is>
      </c>
      <c r="C19" s="8" t="n">
        <v>10000</v>
      </c>
      <c r="E19" s="7" t="inlineStr">
        <is>
          <t>Aim for 22-28% of revenue</t>
        </is>
      </c>
    </row>
    <row r="20">
      <c r="B20" s="5" t="inlineStr">
        <is>
          <t>Front-of-house labour (£/month)</t>
        </is>
      </c>
      <c r="C20" s="8" t="n">
        <v>5000</v>
      </c>
      <c r="E20" s="7" t="inlineStr">
        <is>
          <t>Aim for 10-15% of revenue</t>
        </is>
      </c>
    </row>
    <row r="21">
      <c r="B21" s="5" t="inlineStr">
        <is>
          <t>Equipment hire &amp; consumables (£/month)</t>
        </is>
      </c>
      <c r="C21" s="8" t="n">
        <v>1200</v>
      </c>
      <c r="E21" s="7" t="inlineStr">
        <is>
          <t>Often underestimated</t>
        </is>
      </c>
    </row>
    <row r="22">
      <c r="B22" s="5" t="inlineStr">
        <is>
          <t>Transport &amp; logistics (£/month)</t>
        </is>
      </c>
      <c r="C22" s="8" t="n">
        <v>800</v>
      </c>
      <c r="E22" s="7" t="inlineStr">
        <is>
          <t>Fuel, van hire, driver costs</t>
        </is>
      </c>
    </row>
    <row r="23">
      <c r="B23" s="5" t="inlineStr">
        <is>
          <t>Venue/kitchen rent &amp; utilities (£/month)</t>
        </is>
      </c>
      <c r="C23" s="8" t="n">
        <v>3500</v>
      </c>
      <c r="E23" s="7" t="inlineStr">
        <is>
          <t>Fixed overhead</t>
        </is>
      </c>
    </row>
    <row r="24">
      <c r="B24" s="5" t="inlineStr">
        <is>
          <t>Insurance &amp; compliance (£/month)</t>
        </is>
      </c>
      <c r="C24" s="8" t="n">
        <v>600</v>
      </c>
      <c r="E24" s="7" t="inlineStr">
        <is>
          <t>EHO, liability, PAT testing</t>
        </is>
      </c>
    </row>
    <row r="25">
      <c r="B25" s="5" t="inlineStr">
        <is>
          <t>Marketing &amp; sales costs (£/month)</t>
        </is>
      </c>
      <c r="C25" s="8" t="n">
        <v>1500</v>
      </c>
      <c r="E25" s="7" t="inlineStr">
        <is>
          <t>Lead generation, website, ads</t>
        </is>
      </c>
    </row>
    <row r="26">
      <c r="B26" s="5" t="inlineStr">
        <is>
          <t>Software &amp; admin (£/month)</t>
        </is>
      </c>
      <c r="C26" s="8" t="n">
        <v>400</v>
      </c>
      <c r="E26" s="7" t="inlineStr">
        <is>
          <t>Accounting, CRM, scheduling</t>
        </is>
      </c>
    </row>
    <row r="27">
      <c r="B27" s="5" t="inlineStr">
        <is>
          <t>Waste &amp; spoilage estimate (£/month)</t>
        </is>
      </c>
      <c r="C27" s="8" t="n">
        <v>1200</v>
      </c>
      <c r="E27" s="7" t="inlineStr">
        <is>
          <t>Industry avg: 3-5% of food cost</t>
        </is>
      </c>
    </row>
    <row r="28">
      <c r="B28" s="13" t="inlineStr">
        <is>
          <t>TOTAL MONTHLY COSTS</t>
        </is>
      </c>
      <c r="C28" s="14">
        <f>SUM(C17:C27)</f>
        <v/>
      </c>
    </row>
    <row r="29">
      <c r="B29" s="13" t="inlineStr">
        <is>
          <t>TOTAL ANNUAL COSTS</t>
        </is>
      </c>
      <c r="C29" s="14">
        <f>C28*C10</f>
        <v/>
      </c>
    </row>
    <row r="32" ht="30" customHeight="1">
      <c r="B32" s="4" t="inlineStr">
        <is>
          <t xml:space="preserve">  3. YOUR PROFIT REALITY</t>
        </is>
      </c>
    </row>
    <row r="33">
      <c r="B33" s="15" t="inlineStr">
        <is>
          <t>Monthly Gross Profit</t>
        </is>
      </c>
      <c r="C33" s="16">
        <f>C12-C28</f>
        <v/>
      </c>
    </row>
    <row r="34">
      <c r="B34" s="15" t="inlineStr">
        <is>
          <t>Annual Gross Profit</t>
        </is>
      </c>
      <c r="C34" s="16">
        <f>C13-C29</f>
        <v/>
      </c>
    </row>
    <row r="35">
      <c r="B35" s="15" t="inlineStr">
        <is>
          <t>Gross Profit Margin (%)</t>
        </is>
      </c>
      <c r="C35" s="17">
        <f>IF(C12&gt;0,(C12-C28)/C12,0)</f>
        <v/>
      </c>
      <c r="E35" s="7" t="inlineStr">
        <is>
          <t>⚠ Target: &lt; 32%  |  🔴 Danger: &gt; 38%</t>
        </is>
      </c>
    </row>
    <row r="36">
      <c r="B36" s="15" t="inlineStr">
        <is>
          <t>Food Cost % of Revenue</t>
        </is>
      </c>
      <c r="C36" s="17">
        <f>IF(C12&gt;0,C17/C12,0)</f>
        <v/>
      </c>
      <c r="E36" s="7" t="inlineStr">
        <is>
          <t>⚠ Target: &lt; 35%  |  🔴 Danger: &gt; 42%</t>
        </is>
      </c>
    </row>
    <row r="37">
      <c r="B37" s="15" t="inlineStr">
        <is>
          <t>Total Labour Cost % of Revenue</t>
        </is>
      </c>
      <c r="C37" s="17">
        <f>IF(C12&gt;0,(C19+C20)/C12,0)</f>
        <v/>
      </c>
      <c r="E37" s="7" t="inlineStr">
        <is>
          <t>⚠ Target: 10-15% margin minimum</t>
        </is>
      </c>
    </row>
    <row r="38">
      <c r="B38" s="15" t="inlineStr">
        <is>
          <t>Revenue Per Cover</t>
        </is>
      </c>
      <c r="C38" s="18">
        <f>IF(C8&gt;0,C7*C8/C8,0)</f>
        <v/>
      </c>
    </row>
    <row r="39">
      <c r="B39" s="15" t="inlineStr">
        <is>
          <t>Cost Per Cover</t>
        </is>
      </c>
      <c r="C39" s="18">
        <f>IF(C8&gt;0,C28/C8/C6,0)</f>
        <v/>
      </c>
    </row>
    <row r="40">
      <c r="B40" s="15" t="inlineStr">
        <is>
          <t>Profit Per Cover</t>
        </is>
      </c>
      <c r="C40" s="18">
        <f>C38-C39</f>
        <v/>
      </c>
    </row>
    <row r="43" ht="30" customHeight="1">
      <c r="B43" s="4" t="inlineStr">
        <is>
          <t xml:space="preserve">  4. YOUR MARGIN RECOVERY ROADMAP</t>
        </is>
      </c>
    </row>
    <row r="44">
      <c r="B44" s="19" t="inlineStr">
        <is>
          <t>Based on CateringOS customer benchmarks, here's what automated operations typically recover:</t>
        </is>
      </c>
    </row>
    <row r="46">
      <c r="B46" s="5" t="inlineStr">
        <is>
          <t>Waste reduction (smart inventory + OCR menus)</t>
        </is>
      </c>
      <c r="C46" s="20" t="inlineStr">
        <is>
          <t>3-5%</t>
        </is>
      </c>
      <c r="D46" s="21" t="inlineStr">
        <is>
          <t>of food cost</t>
        </is>
      </c>
      <c r="E46" s="22">
        <f>C17*0.04</f>
        <v/>
      </c>
    </row>
    <row r="47">
      <c r="B47" s="5" t="inlineStr">
        <is>
          <t>Labour optimisation (auto-scheduling + prep lists)</t>
        </is>
      </c>
      <c r="C47" s="20" t="inlineStr">
        <is>
          <t>8-15%</t>
        </is>
      </c>
      <c r="D47" s="21" t="inlineStr">
        <is>
          <t>of labour cost</t>
        </is>
      </c>
      <c r="E47" s="22">
        <f>(C19+C20)*0.12</f>
        <v/>
      </c>
    </row>
    <row r="48">
      <c r="B48" s="5" t="inlineStr">
        <is>
          <t>Portion control &amp; recipe costing</t>
        </is>
      </c>
      <c r="C48" s="20" t="inlineStr">
        <is>
          <t>2-4%</t>
        </is>
      </c>
      <c r="D48" s="21" t="inlineStr">
        <is>
          <t>of food cost</t>
        </is>
      </c>
      <c r="E48" s="22">
        <f>C17*0.03</f>
        <v/>
      </c>
    </row>
    <row r="49">
      <c r="B49" s="5" t="inlineStr">
        <is>
          <t>Supplier price tracking &amp; negotiation data</t>
        </is>
      </c>
      <c r="C49" s="20" t="inlineStr">
        <is>
          <t>3-8%</t>
        </is>
      </c>
      <c r="D49" s="21" t="inlineStr">
        <is>
          <t>of procurement</t>
        </is>
      </c>
      <c r="E49" s="22">
        <f>(C17+C18)*0.05</f>
        <v/>
      </c>
    </row>
    <row r="50">
      <c r="B50" s="5" t="inlineStr">
        <is>
          <t>Compliance automation (no manual HACCP)</t>
        </is>
      </c>
      <c r="C50" s="20" t="inlineStr">
        <is>
          <t>60-80%</t>
        </is>
      </c>
      <c r="D50" s="21" t="inlineStr">
        <is>
          <t>time savings</t>
        </is>
      </c>
      <c r="E50" s="22">
        <f>C26*0.7</f>
        <v/>
      </c>
    </row>
    <row r="51">
      <c r="B51" s="5" t="inlineStr">
        <is>
          <t>Admin reduction (invoicing, BEOs, reporting)</t>
        </is>
      </c>
      <c r="C51" s="20" t="inlineStr">
        <is>
          <t>40-60%</t>
        </is>
      </c>
      <c r="D51" s="21" t="inlineStr">
        <is>
          <t>time savings</t>
        </is>
      </c>
      <c r="E51" s="22">
        <f>C25*0.5</f>
        <v/>
      </c>
    </row>
    <row r="53">
      <c r="B53" s="11" t="inlineStr">
        <is>
          <t>TOTAL ESTIMATED MONTHLY SAVINGS</t>
        </is>
      </c>
      <c r="E53" s="23">
        <f>SUM(E46:E51)</f>
        <v/>
      </c>
    </row>
    <row r="54">
      <c r="B54" s="11" t="inlineStr">
        <is>
          <t>TOTAL ESTIMATED ANNUAL SAVINGS</t>
        </is>
      </c>
      <c r="E54" s="23">
        <f>E53*C10</f>
        <v/>
      </c>
    </row>
    <row r="56">
      <c r="B56" s="24" t="inlineStr">
        <is>
          <t>NEW PROJECTED GROSS MARGIN</t>
        </is>
      </c>
      <c r="E56" s="25">
        <f>IF(C12&gt;0,(C12-C28+E53)/C12,0)</f>
        <v/>
      </c>
    </row>
    <row r="57">
      <c r="B57" s="26" t="inlineStr">
        <is>
          <t>GP% IMPROVEMENT</t>
        </is>
      </c>
      <c r="E57" s="27">
        <f>E56-C35</f>
        <v/>
      </c>
    </row>
    <row r="60" ht="30" customHeight="1">
      <c r="B60" s="4" t="inlineStr">
        <is>
          <t xml:space="preserve">  5. ROI ON CATERINGOS</t>
        </is>
      </c>
    </row>
    <row r="61">
      <c r="B61" s="5" t="inlineStr">
        <is>
          <t>CateringOS Pro subscription (£/month)</t>
        </is>
      </c>
      <c r="C61" s="8" t="n">
        <v>399</v>
      </c>
      <c r="E61" s="7" t="inlineStr">
        <is>
          <t>Change to £199 for Starter plan</t>
        </is>
      </c>
    </row>
    <row r="62">
      <c r="B62" s="5" t="inlineStr">
        <is>
          <t>Estimated monthly savings (from above)</t>
        </is>
      </c>
      <c r="C62" s="28">
        <f>E53</f>
        <v/>
      </c>
    </row>
    <row r="63">
      <c r="B63" s="15" t="inlineStr">
        <is>
          <t>Net monthly benefit</t>
        </is>
      </c>
      <c r="C63" s="29">
        <f>C62-C61</f>
        <v/>
      </c>
    </row>
    <row r="64">
      <c r="B64" s="15" t="inlineStr">
        <is>
          <t>ROI multiple</t>
        </is>
      </c>
      <c r="C64" s="30">
        <f>IF(C61&gt;0,C62/C61,0)</f>
        <v/>
      </c>
    </row>
    <row r="65">
      <c r="B65" s="15" t="inlineStr">
        <is>
          <t>Payback period (days)</t>
        </is>
      </c>
      <c r="C65" s="31">
        <f>IF(C62&gt;0,C61/C62*30,0)</f>
        <v/>
      </c>
    </row>
    <row r="68">
      <c r="B68" s="32" t="inlineStr">
        <is>
          <t>Ready to recover your margin? Start your free 7-day trial at cateringos.com</t>
        </is>
      </c>
    </row>
    <row r="69">
      <c r="B69" s="33" t="inlineStr">
        <is>
          <t>Questions? Book a demo: calendly.com/cateringos/enterprise-demo</t>
        </is>
      </c>
    </row>
    <row r="71">
      <c r="B71" s="34" t="inlineStr">
        <is>
          <t>© 2026 CateringOS Ltd. This calculator uses industry benchmarks from UK Hospitality, the British Hospitality Association, and Caterer.com research.</t>
        </is>
      </c>
    </row>
  </sheetData>
  <mergeCells count="12">
    <mergeCell ref="B71:E71"/>
    <mergeCell ref="B4:E4"/>
    <mergeCell ref="B43:E43"/>
    <mergeCell ref="B69:E69"/>
    <mergeCell ref="B6:E6"/>
    <mergeCell ref="B44:E44"/>
    <mergeCell ref="B16:E16"/>
    <mergeCell ref="B68:E68"/>
    <mergeCell ref="B3:E3"/>
    <mergeCell ref="B2:E2"/>
    <mergeCell ref="B60:E60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0A0A"/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20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25" customWidth="1" min="6" max="6"/>
  </cols>
  <sheetData>
    <row r="2">
      <c r="B2" s="35" t="inlineStr">
        <is>
          <t>UK HOSPITALITY INDUSTRY BENCHMARKS 2026</t>
        </is>
      </c>
    </row>
    <row r="4">
      <c r="B4" s="36" t="inlineStr">
        <is>
          <t>Metric</t>
        </is>
      </c>
      <c r="C4" s="36" t="inlineStr">
        <is>
          <t>Poor</t>
        </is>
      </c>
      <c r="D4" s="36" t="inlineStr">
        <is>
          <t>Average</t>
        </is>
      </c>
      <c r="E4" s="36" t="inlineStr">
        <is>
          <t>Best-in-Class</t>
        </is>
      </c>
      <c r="F4" s="36" t="inlineStr">
        <is>
          <t>Your Target</t>
        </is>
      </c>
    </row>
    <row r="5">
      <c r="B5" s="37" t="inlineStr">
        <is>
          <t>Food Cost %</t>
        </is>
      </c>
      <c r="C5" s="38" t="inlineStr">
        <is>
          <t>&gt; 38%</t>
        </is>
      </c>
      <c r="D5" s="39" t="inlineStr">
        <is>
          <t>30-35%</t>
        </is>
      </c>
      <c r="E5" s="40" t="inlineStr">
        <is>
          <t>&lt; 28%</t>
        </is>
      </c>
      <c r="F5" s="41" t="inlineStr">
        <is>
          <t>28-32%</t>
        </is>
      </c>
    </row>
    <row r="6">
      <c r="B6" s="37" t="inlineStr">
        <is>
          <t>Beverage Cost %</t>
        </is>
      </c>
      <c r="C6" s="38" t="inlineStr">
        <is>
          <t>&gt; 30%</t>
        </is>
      </c>
      <c r="D6" s="39" t="inlineStr">
        <is>
          <t>22-28%</t>
        </is>
      </c>
      <c r="E6" s="40" t="inlineStr">
        <is>
          <t>&lt; 20%</t>
        </is>
      </c>
      <c r="F6" s="41" t="inlineStr">
        <is>
          <t>20-25%</t>
        </is>
      </c>
    </row>
    <row r="7">
      <c r="B7" s="37" t="inlineStr">
        <is>
          <t>Labour Cost %</t>
        </is>
      </c>
      <c r="C7" s="38" t="inlineStr">
        <is>
          <t>&gt; 40%</t>
        </is>
      </c>
      <c r="D7" s="39" t="inlineStr">
        <is>
          <t>30-38%</t>
        </is>
      </c>
      <c r="E7" s="40" t="inlineStr">
        <is>
          <t>&lt; 28%</t>
        </is>
      </c>
      <c r="F7" s="41" t="inlineStr">
        <is>
          <t>28-35%</t>
        </is>
      </c>
    </row>
    <row r="8">
      <c r="B8" s="37" t="inlineStr">
        <is>
          <t>Gross Profit Margin</t>
        </is>
      </c>
      <c r="C8" s="38" t="inlineStr">
        <is>
          <t>&lt; 55%</t>
        </is>
      </c>
      <c r="D8" s="39" t="inlineStr">
        <is>
          <t>60-65%</t>
        </is>
      </c>
      <c r="E8" s="40" t="inlineStr">
        <is>
          <t>&gt; 70%</t>
        </is>
      </c>
      <c r="F8" s="41" t="inlineStr">
        <is>
          <t>65%+</t>
        </is>
      </c>
    </row>
    <row r="9">
      <c r="B9" s="37" t="inlineStr">
        <is>
          <t>Net Profit Margin</t>
        </is>
      </c>
      <c r="C9" s="38" t="inlineStr">
        <is>
          <t>&lt; 3%</t>
        </is>
      </c>
      <c r="D9" s="39" t="inlineStr">
        <is>
          <t>5-8%</t>
        </is>
      </c>
      <c r="E9" s="40" t="inlineStr">
        <is>
          <t>&gt; 12%</t>
        </is>
      </c>
      <c r="F9" s="41" t="inlineStr">
        <is>
          <t>10%+</t>
        </is>
      </c>
    </row>
    <row r="10">
      <c r="B10" s="37" t="inlineStr">
        <is>
          <t>Revenue Per Cover (catering)</t>
        </is>
      </c>
      <c r="C10" s="38" t="inlineStr">
        <is>
          <t>&lt; £25</t>
        </is>
      </c>
      <c r="D10" s="39" t="inlineStr">
        <is>
          <t>£35-50</t>
        </is>
      </c>
      <c r="E10" s="40" t="inlineStr">
        <is>
          <t>&gt; £65</t>
        </is>
      </c>
      <c r="F10" s="41" t="inlineStr">
        <is>
          <t>£45+</t>
        </is>
      </c>
    </row>
    <row r="11">
      <c r="B11" s="37" t="inlineStr">
        <is>
          <t>Waste % of Food Cost</t>
        </is>
      </c>
      <c r="C11" s="38" t="inlineStr">
        <is>
          <t>&gt; 8%</t>
        </is>
      </c>
      <c r="D11" s="39" t="inlineStr">
        <is>
          <t>4-6%</t>
        </is>
      </c>
      <c r="E11" s="40" t="inlineStr">
        <is>
          <t>&lt; 2%</t>
        </is>
      </c>
      <c r="F11" s="41" t="inlineStr">
        <is>
          <t>&lt; 3%</t>
        </is>
      </c>
    </row>
    <row r="12">
      <c r="B12" s="37" t="inlineStr">
        <is>
          <t>Events Capacity Utilisation</t>
        </is>
      </c>
      <c r="C12" s="38" t="inlineStr">
        <is>
          <t>&lt; 50%</t>
        </is>
      </c>
      <c r="D12" s="39" t="inlineStr">
        <is>
          <t>60-75%</t>
        </is>
      </c>
      <c r="E12" s="40" t="inlineStr">
        <is>
          <t>&gt; 85%</t>
        </is>
      </c>
      <c r="F12" s="41" t="inlineStr">
        <is>
          <t>75%+</t>
        </is>
      </c>
    </row>
    <row r="13">
      <c r="B13" s="37" t="inlineStr">
        <is>
          <t>Staff-to-Guest Ratio</t>
        </is>
      </c>
      <c r="C13" s="38" t="inlineStr">
        <is>
          <t>&gt; 1:8</t>
        </is>
      </c>
      <c r="D13" s="39" t="inlineStr">
        <is>
          <t>1:12-1:15</t>
        </is>
      </c>
      <c r="E13" s="40" t="inlineStr">
        <is>
          <t>1:18+</t>
        </is>
      </c>
      <c r="F13" s="41" t="inlineStr">
        <is>
          <t>1:15</t>
        </is>
      </c>
    </row>
    <row r="14">
      <c r="B14" s="37" t="inlineStr">
        <is>
          <t>Repeat Client Rate</t>
        </is>
      </c>
      <c r="C14" s="38" t="inlineStr">
        <is>
          <t>&lt; 20%</t>
        </is>
      </c>
      <c r="D14" s="39" t="inlineStr">
        <is>
          <t>30-45%</t>
        </is>
      </c>
      <c r="E14" s="40" t="inlineStr">
        <is>
          <t>&gt; 60%</t>
        </is>
      </c>
      <c r="F14" s="41" t="inlineStr">
        <is>
          <t>50%+</t>
        </is>
      </c>
    </row>
    <row r="15">
      <c r="B15" s="37" t="inlineStr">
        <is>
          <t>Average Lead Response Time</t>
        </is>
      </c>
      <c r="C15" s="38" t="inlineStr">
        <is>
          <t>&gt; 24hrs</t>
        </is>
      </c>
      <c r="D15" s="39" t="inlineStr">
        <is>
          <t>4-12hrs</t>
        </is>
      </c>
      <c r="E15" s="40" t="inlineStr">
        <is>
          <t>&lt; 1hr</t>
        </is>
      </c>
      <c r="F15" s="41" t="inlineStr">
        <is>
          <t>&lt; 2hrs</t>
        </is>
      </c>
    </row>
    <row r="16">
      <c r="B16" s="37" t="inlineStr">
        <is>
          <t>Quote-to-Book Conversion</t>
        </is>
      </c>
      <c r="C16" s="38" t="inlineStr">
        <is>
          <t>&lt; 15%</t>
        </is>
      </c>
      <c r="D16" s="39" t="inlineStr">
        <is>
          <t>20-30%</t>
        </is>
      </c>
      <c r="E16" s="40" t="inlineStr">
        <is>
          <t>&gt; 40%</t>
        </is>
      </c>
      <c r="F16" s="41" t="inlineStr">
        <is>
          <t>30%+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9FF14"/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20"/>
  <cols>
    <col width="3" customWidth="1" min="1" max="1"/>
    <col width="8" customWidth="1" min="2" max="2"/>
    <col width="45" customWidth="1" min="3" max="3"/>
    <col width="18" customWidth="1" min="4" max="4"/>
    <col width="30" customWidth="1" min="5" max="5"/>
  </cols>
  <sheetData>
    <row r="2">
      <c r="B2" s="35" t="inlineStr">
        <is>
          <t>PROFIT RECOVERY CHECKLIST</t>
        </is>
      </c>
    </row>
    <row r="3">
      <c r="B3" s="2" t="inlineStr">
        <is>
          <t>Tick off each item as you implement it. Typical timeline: 4-8 weeks to full recovery.</t>
        </is>
      </c>
    </row>
    <row r="5">
      <c r="B5" s="42" t="inlineStr">
        <is>
          <t>Done?</t>
        </is>
      </c>
      <c r="C5" s="42" t="inlineStr">
        <is>
          <t>Action</t>
        </is>
      </c>
      <c r="D5" s="42" t="inlineStr">
        <is>
          <t>Est. Impact</t>
        </is>
      </c>
      <c r="E5" s="42" t="inlineStr">
        <is>
          <t>CateringOS Feature</t>
        </is>
      </c>
    </row>
    <row r="6">
      <c r="B6" s="43" t="inlineStr">
        <is>
          <t>☐</t>
        </is>
      </c>
      <c r="C6" s="44" t="inlineStr">
        <is>
          <t>Digitise all supplier invoices with OCR</t>
        </is>
      </c>
      <c r="D6" s="41" t="inlineStr">
        <is>
          <t>£200-500/mo</t>
        </is>
      </c>
      <c r="E6" s="45" t="inlineStr">
        <is>
          <t>PDF Upload → Smart Inventory</t>
        </is>
      </c>
    </row>
    <row r="7">
      <c r="B7" s="43" t="inlineStr">
        <is>
          <t>☐</t>
        </is>
      </c>
      <c r="C7" s="44" t="inlineStr">
        <is>
          <t>Build standardised recipes with exact costings</t>
        </is>
      </c>
      <c r="D7" s="41" t="inlineStr">
        <is>
          <t>2-4% food cost</t>
        </is>
      </c>
      <c r="E7" s="45" t="inlineStr">
        <is>
          <t>Menu Builder + GP Calculator</t>
        </is>
      </c>
    </row>
    <row r="8">
      <c r="B8" s="43" t="inlineStr">
        <is>
          <t>☐</t>
        </is>
      </c>
      <c r="C8" s="44" t="inlineStr">
        <is>
          <t>Set up allergen &amp; compliance automation</t>
        </is>
      </c>
      <c r="D8" s="41" t="inlineStr">
        <is>
          <t>10+ hrs/week</t>
        </is>
      </c>
      <c r="E8" s="45" t="inlineStr">
        <is>
          <t>Safety Engine (HACCP/NATASHA)</t>
        </is>
      </c>
    </row>
    <row r="9">
      <c r="B9" s="43" t="inlineStr">
        <is>
          <t>☐</t>
        </is>
      </c>
      <c r="C9" s="44" t="inlineStr">
        <is>
          <t>Implement portion control across all events</t>
        </is>
      </c>
      <c r="D9" s="41" t="inlineStr">
        <is>
          <t>3-5% waste</t>
        </is>
      </c>
      <c r="E9" s="45" t="inlineStr">
        <is>
          <t>Recipe Scaling per Event</t>
        </is>
      </c>
    </row>
    <row r="10">
      <c r="B10" s="43" t="inlineStr">
        <is>
          <t>☐</t>
        </is>
      </c>
      <c r="C10" s="44" t="inlineStr">
        <is>
          <t>Track supplier pricing trends monthly</t>
        </is>
      </c>
      <c r="D10" s="41" t="inlineStr">
        <is>
          <t>3-8% procurement</t>
        </is>
      </c>
      <c r="E10" s="45" t="inlineStr">
        <is>
          <t>Supplier Analytics Dashboard</t>
        </is>
      </c>
    </row>
    <row r="11">
      <c r="B11" s="43" t="inlineStr">
        <is>
          <t>☐</t>
        </is>
      </c>
      <c r="C11" s="44" t="inlineStr">
        <is>
          <t>Automate BEO &amp; event documentation</t>
        </is>
      </c>
      <c r="D11" s="41" t="inlineStr">
        <is>
          <t>5+ hrs/week</t>
        </is>
      </c>
      <c r="E11" s="45" t="inlineStr">
        <is>
          <t>Event CRM + Auto-BEO</t>
        </is>
      </c>
    </row>
    <row r="12">
      <c r="B12" s="43" t="inlineStr">
        <is>
          <t>☐</t>
        </is>
      </c>
      <c r="C12" s="44" t="inlineStr">
        <is>
          <t>Set up real-time GP% tracking per menu</t>
        </is>
      </c>
      <c r="D12" s="41" t="inlineStr">
        <is>
          <t>Visibility</t>
        </is>
      </c>
      <c r="E12" s="45" t="inlineStr">
        <is>
          <t>Live Margin Dashboard</t>
        </is>
      </c>
    </row>
    <row r="13">
      <c r="B13" s="43" t="inlineStr">
        <is>
          <t>☐</t>
        </is>
      </c>
      <c r="C13" s="44" t="inlineStr">
        <is>
          <t>Create tiered pricing based on true costs</t>
        </is>
      </c>
      <c r="D13" s="41" t="inlineStr">
        <is>
          <t>5-15% revenue</t>
        </is>
      </c>
      <c r="E13" s="45" t="inlineStr">
        <is>
          <t>Menu Builder Price Modelling</t>
        </is>
      </c>
    </row>
    <row r="14">
      <c r="B14" s="43" t="inlineStr">
        <is>
          <t>☐</t>
        </is>
      </c>
      <c r="C14" s="44" t="inlineStr">
        <is>
          <t>Automate staff scheduling vs event demand</t>
        </is>
      </c>
      <c r="D14" s="41" t="inlineStr">
        <is>
          <t>8-15% labour</t>
        </is>
      </c>
      <c r="E14" s="45" t="inlineStr">
        <is>
          <t>Smart Scheduling (coming soon)</t>
        </is>
      </c>
    </row>
    <row r="15">
      <c r="B15" s="43" t="inlineStr">
        <is>
          <t>☐</t>
        </is>
      </c>
      <c r="C15" s="44" t="inlineStr">
        <is>
          <t>Set waste tracking &amp; targets per kitchen</t>
        </is>
      </c>
      <c r="D15" s="41" t="inlineStr">
        <is>
          <t>40-60% waste ↓</t>
        </is>
      </c>
      <c r="E15" s="45" t="inlineStr">
        <is>
          <t>Waste Tracking Module</t>
        </is>
      </c>
    </row>
    <row r="16">
      <c r="B16" s="43" t="inlineStr">
        <is>
          <t>☐</t>
        </is>
      </c>
      <c r="C16" s="44" t="inlineStr">
        <is>
          <t>Implement weekly P&amp;L review cadence</t>
        </is>
      </c>
      <c r="D16" s="41" t="inlineStr">
        <is>
          <t>Accountability</t>
        </is>
      </c>
      <c r="E16" s="45" t="inlineStr">
        <is>
          <t>Automated Weekly Reports</t>
        </is>
      </c>
    </row>
    <row r="17">
      <c r="B17" s="43" t="inlineStr">
        <is>
          <t>☐</t>
        </is>
      </c>
      <c r="C17" s="44" t="inlineStr">
        <is>
          <t>Run quarterly supplier renegotiation</t>
        </is>
      </c>
      <c r="D17" s="41" t="inlineStr">
        <is>
          <t>3-5% procurement</t>
        </is>
      </c>
      <c r="E17" s="45" t="inlineStr">
        <is>
          <t>Supplier Comparison Data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2026-03-27T02:17:39Z</dcterms:created>
  <dcterms:modified xsi:type="dcterms:W3CDTF">2026-03-27T02:17:39Z</dcterms:modified>
</cp:coreProperties>
</file>